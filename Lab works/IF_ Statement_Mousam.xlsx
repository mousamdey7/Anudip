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0454703CADDDEFBE37CB0171402D66DF7966262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L7" i="1"/>
  <c r="K7" i="1"/>
  <c r="J7" i="1"/>
  <c r="I7" i="1"/>
  <c r="H7" i="1"/>
  <c r="G7" i="1"/>
  <c r="F7" i="1"/>
  <c r="M6" i="1"/>
  <c r="L6" i="1"/>
  <c r="K6" i="1"/>
  <c r="J6" i="1"/>
  <c r="I6" i="1"/>
  <c r="H6" i="1"/>
  <c r="G6" i="1"/>
  <c r="F6" i="1"/>
  <c r="M5" i="1"/>
  <c r="L5" i="1"/>
  <c r="K5" i="1"/>
  <c r="J5" i="1"/>
  <c r="I5" i="1"/>
  <c r="H5" i="1"/>
  <c r="G5" i="1"/>
  <c r="F5" i="1"/>
  <c r="M4" i="1"/>
  <c r="L4" i="1"/>
  <c r="K4" i="1"/>
  <c r="J4" i="1"/>
  <c r="I4" i="1"/>
  <c r="H4" i="1"/>
  <c r="G4" i="1"/>
  <c r="F4" i="1"/>
  <c r="M3" i="1"/>
  <c r="L3" i="1"/>
  <c r="K3" i="1"/>
  <c r="J3" i="1"/>
  <c r="I3" i="1"/>
  <c r="H3" i="1"/>
  <c r="G3" i="1"/>
  <c r="F3" i="1"/>
  <c r="M2" i="1"/>
  <c r="L2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<sst xmlns="http://schemas.openxmlformats.org/spreadsheetml/2006/main" count="42" uniqueCount="45">
  <si>
    <t>Product Id</t>
  </si>
  <si>
    <t xml:space="preserve">Product </t>
  </si>
  <si>
    <t>Sales</t>
  </si>
  <si>
    <t xml:space="preserve">Target </t>
  </si>
  <si>
    <t>Region</t>
  </si>
  <si>
    <t xml:space="preserve">Target Status </t>
  </si>
  <si>
    <t xml:space="preserve">Religional bonus Eligibility </t>
  </si>
  <si>
    <t>commission Rate</t>
  </si>
  <si>
    <t xml:space="preserve">Bonus Amount </t>
  </si>
  <si>
    <t xml:space="preserve">Sales performance </t>
  </si>
  <si>
    <t>Price Tier</t>
  </si>
  <si>
    <t xml:space="preserve">Year end Bonus </t>
  </si>
  <si>
    <t xml:space="preserve">Performance </t>
  </si>
  <si>
    <t>Product A</t>
  </si>
  <si>
    <t>North</t>
  </si>
  <si>
    <t>Product B</t>
  </si>
  <si>
    <t xml:space="preserve">South </t>
  </si>
  <si>
    <t>Product C</t>
  </si>
  <si>
    <t>East</t>
  </si>
  <si>
    <t>Product D</t>
  </si>
  <si>
    <t>West</t>
  </si>
  <si>
    <t>Product E</t>
  </si>
  <si>
    <t>Product F</t>
  </si>
  <si>
    <t>South</t>
  </si>
  <si>
    <t>1.Use the IF function to evaluate whether each product met its sales or not</t>
  </si>
  <si>
    <t>2. Use the IF func tion to determine if a product is eligible for a regional bonus. Products in the "North" region with sales over 200 are eligible.</t>
  </si>
  <si>
    <t xml:space="preserve">3. Use nested IF functions to assign a commission rate based on sales. </t>
  </si>
  <si>
    <t>Sales &gt;= 200 get a 10% commission, sales &gt;= 150 get a 7%</t>
  </si>
  <si>
    <t>commission, and others get a 5% commission.</t>
  </si>
  <si>
    <t xml:space="preserve">4. Use the IF function to calculate a bonus amount. If sales met or </t>
  </si>
  <si>
    <t xml:space="preserve">exceeded the target, the bonus is 10% of the sales; otherwise, it's </t>
  </si>
  <si>
    <t>5%.</t>
  </si>
  <si>
    <t xml:space="preserve">5. Use the IF function to categorize sales performance as "Excellent" </t>
  </si>
  <si>
    <t>(&gt;=200), "Good" (&gt;=150), or "Needs Improvement" (&lt;150).</t>
  </si>
  <si>
    <t xml:space="preserve">6. Use the IF function to assign a price tier based on the sales value. </t>
  </si>
  <si>
    <t xml:space="preserve">High for sales &gt; 200, "Medium" for sales between 100 and 200, and </t>
  </si>
  <si>
    <t>Low for sales &lt; 100.</t>
  </si>
  <si>
    <t xml:space="preserve">7. Use the IF function to calculate the year-end bonus. If sales &gt;= 150 </t>
  </si>
  <si>
    <t>and region is "North", the bonus is $500, otherwise, it's $300.</t>
  </si>
  <si>
    <t xml:space="preserve">8. Use the IF function to mark high performers. A product is a high </t>
  </si>
  <si>
    <t>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</si>
</sst>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0" borderId="0" xfId="0" applyFont="1" applyAlignment="1"/>
    <xf numFmtId="0" fontId="1" fillId="0" borderId="4" xfId="0" applyFont="1" applyBorder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5" xfId="0" applyFont="1" applyBorder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7" xfId="0" applyFont="1" applyBorder="1" applyAlignment="1"/>
    <xf numFmtId="0" fontId="1" fillId="0" borderId="7" xfId="0" applyFont="1" applyBorder="1" applyAlignment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5"/>
  <sheetViews>
    <sheetView tabSelected="1" workbookViewId="0">
      <selection activeCell="B15" sqref="B15"/>
    </sheetView>
  </sheetViews>
  <sheetFormatPr defaultColWidth="12.67578125" defaultRowHeight="15.75" customHeight="1" x14ac:dyDescent="0.15"/>
  <cols>
    <col min="7" max="7" width="21.171875" customWidth="1"/>
    <col min="8" max="8" width="15.1015625" customWidth="1"/>
    <col min="9" max="9" width="14.5625" customWidth="1"/>
    <col min="10" max="10" width="16.85546875" customWidth="1"/>
    <col min="13" max="13" width="15.37109375" customWidth="1"/>
  </cols>
  <sheetData>
    <row r="1" spans="1:14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/>
    </row>
    <row r="2" spans="1:14" ht="12.75" x14ac:dyDescent="0.15">
      <c r="A2" s="5">
        <v>101</v>
      </c>
      <c r="B2" s="4" t="s">
        <v>13</v>
      </c>
      <c r="C2" s="4">
        <v>120</v>
      </c>
      <c r="D2" s="4">
        <v>150</v>
      </c>
      <c r="E2" s="16" t="s">
        <v>14</v>
      </c>
      <c r="F2" s="6" t="str">
        <f t="shared" ref="F2:F7" si="0">IF(C2&gt;=D2,"Met Target","Not Met")</f>
        <v>Not Met</v>
      </c>
      <c r="G2" s="7" t="str">
        <f t="shared" ref="G2:G7" si="1">IF(AND(E2="North",C2&gt;200),"Eligible","Not Eligible")</f>
        <v>Not Eligible</v>
      </c>
      <c r="H2" s="8">
        <f t="shared" ref="H2:H7" si="2">IF(C2&gt;=200,10%,IF(C2&gt;=150,7%,5%))</f>
        <v>0.05</v>
      </c>
      <c r="I2" s="8">
        <f t="shared" ref="I2:I7" si="3">IF(C2&gt;=D2,C2*10%,C2*5%)</f>
        <v>6</v>
      </c>
      <c r="J2" s="8" t="str">
        <f t="shared" ref="J2:J7" si="4">IF(C2&gt;=200,"Excellent",IF(C2&gt;=150,"Good","Needs Improvement"))</f>
        <v>Needs Improvement</v>
      </c>
      <c r="K2" s="8" t="str">
        <f t="shared" ref="K2:K7" si="5">IF(C2&gt;200,"High",IF(C2&gt;=100,"Medium","Low"))</f>
        <v>Medium</v>
      </c>
      <c r="L2" s="8">
        <f t="shared" ref="L2:L7" si="6">IF(AND(C2&gt;=150,E2="North"),500,300)</f>
        <v>300</v>
      </c>
      <c r="M2" s="9" t="str">
        <f t="shared" ref="M2:M7" si="7">IF(C2&gt;=_xlfn.PERCENTILE.INC($C$2:$C$7,0.75),"High Performer","Normal")</f>
        <v>Normal</v>
      </c>
    </row>
    <row r="3" spans="1:14" ht="12.75" x14ac:dyDescent="0.15">
      <c r="A3" s="5">
        <v>102</v>
      </c>
      <c r="B3" s="4" t="s">
        <v>15</v>
      </c>
      <c r="C3" s="4">
        <v>150</v>
      </c>
      <c r="D3" s="4">
        <v>140</v>
      </c>
      <c r="E3" s="16" t="s">
        <v>16</v>
      </c>
      <c r="F3" s="6" t="str">
        <f t="shared" si="0"/>
        <v>Met Target</v>
      </c>
      <c r="G3" s="7" t="str">
        <f t="shared" si="1"/>
        <v>Not Eligible</v>
      </c>
      <c r="H3" s="8">
        <f t="shared" si="2"/>
        <v>7.0000000000000007E-2</v>
      </c>
      <c r="I3" s="8">
        <f t="shared" si="3"/>
        <v>15</v>
      </c>
      <c r="J3" s="8" t="str">
        <f t="shared" si="4"/>
        <v>Good</v>
      </c>
      <c r="K3" s="8" t="str">
        <f t="shared" si="5"/>
        <v>Medium</v>
      </c>
      <c r="L3" s="8">
        <f t="shared" si="6"/>
        <v>300</v>
      </c>
      <c r="M3" s="9" t="str">
        <f t="shared" si="7"/>
        <v>Normal</v>
      </c>
    </row>
    <row r="4" spans="1:14" ht="12.75" x14ac:dyDescent="0.15">
      <c r="A4" s="5">
        <v>103</v>
      </c>
      <c r="B4" s="4" t="s">
        <v>17</v>
      </c>
      <c r="C4" s="4">
        <v>200</v>
      </c>
      <c r="D4" s="4">
        <v>200</v>
      </c>
      <c r="E4" s="16" t="s">
        <v>18</v>
      </c>
      <c r="F4" s="6" t="str">
        <f t="shared" si="0"/>
        <v>Met Target</v>
      </c>
      <c r="G4" s="7" t="str">
        <f t="shared" si="1"/>
        <v>Not Eligible</v>
      </c>
      <c r="H4" s="8">
        <f t="shared" si="2"/>
        <v>0.1</v>
      </c>
      <c r="I4" s="8">
        <f t="shared" si="3"/>
        <v>20</v>
      </c>
      <c r="J4" s="8" t="str">
        <f t="shared" si="4"/>
        <v>Excellent</v>
      </c>
      <c r="K4" s="8" t="str">
        <f t="shared" si="5"/>
        <v>Medium</v>
      </c>
      <c r="L4" s="8">
        <f t="shared" si="6"/>
        <v>300</v>
      </c>
      <c r="M4" s="9" t="str">
        <f t="shared" si="7"/>
        <v>High Performer</v>
      </c>
    </row>
    <row r="5" spans="1:14" ht="12.75" x14ac:dyDescent="0.15">
      <c r="A5" s="5">
        <v>104</v>
      </c>
      <c r="B5" s="4" t="s">
        <v>19</v>
      </c>
      <c r="C5" s="4">
        <v>90</v>
      </c>
      <c r="D5" s="4">
        <v>100</v>
      </c>
      <c r="E5" s="16" t="s">
        <v>20</v>
      </c>
      <c r="F5" s="6" t="str">
        <f t="shared" si="0"/>
        <v>Not Met</v>
      </c>
      <c r="G5" s="7" t="str">
        <f t="shared" si="1"/>
        <v>Not Eligible</v>
      </c>
      <c r="H5" s="8">
        <f t="shared" si="2"/>
        <v>0.05</v>
      </c>
      <c r="I5" s="8">
        <f t="shared" si="3"/>
        <v>4.5</v>
      </c>
      <c r="J5" s="8" t="str">
        <f t="shared" si="4"/>
        <v>Needs Improvement</v>
      </c>
      <c r="K5" s="8" t="str">
        <f t="shared" si="5"/>
        <v>Low</v>
      </c>
      <c r="L5" s="8">
        <f t="shared" si="6"/>
        <v>300</v>
      </c>
      <c r="M5" s="9" t="str">
        <f t="shared" si="7"/>
        <v>Normal</v>
      </c>
    </row>
    <row r="6" spans="1:14" ht="12.75" x14ac:dyDescent="0.15">
      <c r="A6" s="5">
        <v>105</v>
      </c>
      <c r="B6" s="4" t="s">
        <v>21</v>
      </c>
      <c r="C6" s="4">
        <v>220</v>
      </c>
      <c r="D6" s="4">
        <v>210</v>
      </c>
      <c r="E6" s="16" t="s">
        <v>14</v>
      </c>
      <c r="F6" s="6" t="str">
        <f t="shared" si="0"/>
        <v>Met Target</v>
      </c>
      <c r="G6" s="7" t="str">
        <f t="shared" si="1"/>
        <v>Eligible</v>
      </c>
      <c r="H6" s="8">
        <f t="shared" si="2"/>
        <v>0.1</v>
      </c>
      <c r="I6" s="8">
        <f t="shared" si="3"/>
        <v>22</v>
      </c>
      <c r="J6" s="8" t="str">
        <f t="shared" si="4"/>
        <v>Excellent</v>
      </c>
      <c r="K6" s="8" t="str">
        <f t="shared" si="5"/>
        <v>High</v>
      </c>
      <c r="L6" s="8">
        <f t="shared" si="6"/>
        <v>500</v>
      </c>
      <c r="M6" s="9" t="str">
        <f t="shared" si="7"/>
        <v>High Performer</v>
      </c>
    </row>
    <row r="7" spans="1:14" ht="12.75" x14ac:dyDescent="0.15">
      <c r="A7" s="10">
        <v>106</v>
      </c>
      <c r="B7" s="11" t="s">
        <v>22</v>
      </c>
      <c r="C7" s="11">
        <v>130</v>
      </c>
      <c r="D7" s="11">
        <v>160</v>
      </c>
      <c r="E7" s="17" t="s">
        <v>23</v>
      </c>
      <c r="F7" s="12" t="str">
        <f t="shared" si="0"/>
        <v>Not Met</v>
      </c>
      <c r="G7" s="13" t="str">
        <f t="shared" si="1"/>
        <v>Not Eligible</v>
      </c>
      <c r="H7" s="14">
        <f t="shared" si="2"/>
        <v>0.05</v>
      </c>
      <c r="I7" s="14">
        <f t="shared" si="3"/>
        <v>6.5</v>
      </c>
      <c r="J7" s="14" t="str">
        <f t="shared" si="4"/>
        <v>Needs Improvement</v>
      </c>
      <c r="K7" s="14" t="str">
        <f t="shared" si="5"/>
        <v>Medium</v>
      </c>
      <c r="L7" s="14">
        <f t="shared" si="6"/>
        <v>300</v>
      </c>
      <c r="M7" s="15" t="str">
        <f t="shared" si="7"/>
        <v>Normal</v>
      </c>
    </row>
    <row r="8" spans="1:14" ht="12.75" x14ac:dyDescent="0.15">
      <c r="A8" s="4"/>
      <c r="B8" s="4"/>
      <c r="C8" s="4"/>
      <c r="D8" s="4"/>
      <c r="E8" s="4"/>
      <c r="F8" s="6"/>
      <c r="G8" s="7"/>
    </row>
    <row r="9" spans="1:14" ht="15.75" customHeight="1" x14ac:dyDescent="0.15">
      <c r="A9" t="s">
        <v>24</v>
      </c>
    </row>
    <row r="10" spans="1:14" ht="15.75" customHeight="1" x14ac:dyDescent="0.15">
      <c r="A10" t="s">
        <v>25</v>
      </c>
    </row>
    <row r="11" spans="1:14" ht="15.75" customHeight="1" x14ac:dyDescent="0.15">
      <c r="A11" t="s">
        <v>26</v>
      </c>
    </row>
    <row r="12" spans="1:14" ht="15.75" customHeight="1" x14ac:dyDescent="0.15">
      <c r="A12" t="s">
        <v>27</v>
      </c>
    </row>
    <row r="13" spans="1:14" ht="15.75" customHeight="1" x14ac:dyDescent="0.15">
      <c r="A13" t="s">
        <v>28</v>
      </c>
    </row>
    <row r="14" spans="1:14" ht="15.75" customHeight="1" x14ac:dyDescent="0.15">
      <c r="A14" t="s">
        <v>29</v>
      </c>
    </row>
    <row r="15" spans="1:14" ht="15.75" customHeight="1" x14ac:dyDescent="0.15">
      <c r="A15" t="s">
        <v>30</v>
      </c>
    </row>
    <row r="16" spans="1:14" ht="15.75" customHeight="1" x14ac:dyDescent="0.15">
      <c r="A16" t="s">
        <v>31</v>
      </c>
    </row>
    <row r="17" spans="1:1" ht="15.75" customHeight="1" x14ac:dyDescent="0.15">
      <c r="A17" t="s">
        <v>32</v>
      </c>
    </row>
    <row r="18" spans="1:1" ht="15.75" customHeight="1" x14ac:dyDescent="0.15">
      <c r="A18" t="s">
        <v>33</v>
      </c>
    </row>
    <row r="19" spans="1:1" ht="15.75" customHeight="1" x14ac:dyDescent="0.15">
      <c r="A19" t="s">
        <v>34</v>
      </c>
    </row>
    <row r="20" spans="1:1" ht="15.75" customHeight="1" x14ac:dyDescent="0.15">
      <c r="A20" t="s">
        <v>35</v>
      </c>
    </row>
    <row r="21" spans="1:1" ht="15.75" customHeight="1" x14ac:dyDescent="0.15">
      <c r="A21" t="s">
        <v>36</v>
      </c>
    </row>
    <row r="22" spans="1:1" ht="15.75" customHeight="1" x14ac:dyDescent="0.15">
      <c r="A22" t="s">
        <v>37</v>
      </c>
    </row>
    <row r="23" spans="1:1" ht="15.75" customHeight="1" x14ac:dyDescent="0.15">
      <c r="A23" t="s">
        <v>38</v>
      </c>
    </row>
    <row r="24" spans="1:1" ht="15.75" customHeight="1" x14ac:dyDescent="0.15">
      <c r="A24" t="s">
        <v>39</v>
      </c>
    </row>
    <row r="25" spans="1:1" ht="15.75" customHeight="1" x14ac:dyDescent="0.15">
      <c r="A2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rger5578@gmail.com</dc:creator>
  <dcterms:created xsi:type="dcterms:W3CDTF">2026-08-03T15:33:12Z</dcterms:created>
</cp:coreProperties>
</file>