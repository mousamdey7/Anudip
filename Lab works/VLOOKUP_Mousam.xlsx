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SOHAM\Downloads\"/>
    </mc:Choice>
  </mc:AlternateContent>
  <xr:revisionPtr revIDLastSave="0" documentId="13_ncr:1_{EEF8E2F0-1CF9-4FE1-B22B-BC26BB5EB95F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Products" sheetId="1" r:id="rId1"/>
    <sheet name="Order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9" i="1" l="1"/>
  <c r="C16" i="1"/>
  <c r="B16" i="1"/>
  <c r="C15" i="1"/>
  <c r="B15" i="1"/>
  <c r="C14" i="1"/>
  <c r="B14" i="1"/>
  <c r="C13" i="1"/>
  <c r="B13" i="1"/>
  <c r="C12" i="1"/>
  <c r="B12" i="1"/>
  <c r="C11" i="1"/>
  <c r="B11" i="1"/>
  <c r="D2" i="2"/>
  <c r="G7" i="2"/>
  <c r="F7" i="2"/>
  <c r="D7" i="2" s="1"/>
  <c r="E7" i="2"/>
  <c r="H6" i="2"/>
  <c r="G6" i="2"/>
  <c r="F6" i="2"/>
  <c r="I6" i="2" s="1"/>
  <c r="E6" i="2"/>
  <c r="D6" i="2"/>
  <c r="G5" i="2"/>
  <c r="F5" i="2"/>
  <c r="I5" i="2" s="1"/>
  <c r="E5" i="2"/>
  <c r="I4" i="2"/>
  <c r="H4" i="2"/>
  <c r="G4" i="2"/>
  <c r="F4" i="2"/>
  <c r="E4" i="2"/>
  <c r="D4" i="2"/>
  <c r="I3" i="2"/>
  <c r="G3" i="2"/>
  <c r="F3" i="2"/>
  <c r="D3" i="2" s="1"/>
  <c r="E3" i="2"/>
  <c r="I2" i="2"/>
  <c r="H2" i="2"/>
  <c r="G2" i="2"/>
  <c r="F2" i="2"/>
  <c r="E2" i="2"/>
  <c r="D7" i="1"/>
  <c r="D6" i="1"/>
  <c r="D5" i="1"/>
  <c r="D4" i="1"/>
  <c r="D3" i="1"/>
  <c r="D2" i="1"/>
  <c r="H3" i="2" l="1"/>
  <c r="D5" i="2"/>
  <c r="H7" i="2"/>
  <c r="I7" i="2"/>
  <c r="H5" i="2"/>
</calcChain>
</file>

<file path=xl/sharedStrings.xml><?xml version="1.0" encoding="utf-8"?>
<sst xmlns="http://schemas.openxmlformats.org/spreadsheetml/2006/main" count="23" uniqueCount="19">
  <si>
    <t>ProductID</t>
  </si>
  <si>
    <t>Product</t>
  </si>
  <si>
    <t>Price</t>
  </si>
  <si>
    <t>Order Status</t>
  </si>
  <si>
    <t>Product A</t>
  </si>
  <si>
    <t>Product B</t>
  </si>
  <si>
    <t>Product C</t>
  </si>
  <si>
    <t>Product D</t>
  </si>
  <si>
    <t>Product E</t>
  </si>
  <si>
    <t>Product F</t>
  </si>
  <si>
    <t>OrderID</t>
  </si>
  <si>
    <t>Quantity</t>
  </si>
  <si>
    <t>TotalPrice</t>
  </si>
  <si>
    <t>Product Name</t>
  </si>
  <si>
    <t>ID Check</t>
  </si>
  <si>
    <t>Discounted Price</t>
  </si>
  <si>
    <t>Order Value</t>
  </si>
  <si>
    <t>Total Quantity Sold</t>
  </si>
  <si>
    <t>Maximum Order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</si>
</sst>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9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0" fontId="1" fillId="4" borderId="0" applyNumberFormat="0" applyBorder="0" applyAlignment="0" applyProtection="0"/>
    <xf numFmtId="0" fontId="3" fillId="5" borderId="0" applyNumberFormat="0" applyBorder="0" applyAlignment="0" applyProtection="0"/>
  </cellStyleXfs>
  <cellXfs count="9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3" fillId="5" borderId="1" xfId="4" applyBorder="1" applyAlignment="1">
      <alignment horizontal="center"/>
    </xf>
    <xf numFmtId="0" fontId="2" fillId="2" borderId="1" xfId="1" applyBorder="1" applyAlignment="1">
      <alignment horizontal="center"/>
    </xf>
    <xf numFmtId="0" fontId="1" fillId="4" borderId="1" xfId="3" applyBorder="1" applyAlignment="1">
      <alignment horizontal="center"/>
    </xf>
    <xf numFmtId="0" fontId="3" fillId="3" borderId="1" xfId="2" applyBorder="1" applyAlignment="1">
      <alignment horizontal="center"/>
    </xf>
    <xf numFmtId="2" fontId="0" fillId="0" borderId="1" xfId="0" applyNumberFormat="1" applyBorder="1"/>
  </cellXfs>
  <cellStyles count="5">
    <cellStyle name="40% - Accent4" xfId="3" builtinId="43"/>
    <cellStyle name="Accent2" xfId="2" builtinId="33"/>
    <cellStyle name="Accent6" xfId="4" builtinId="49"/>
    <cellStyle name="Neutral" xfId="1" builtinId="2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9"/>
  <sheetViews>
    <sheetView tabSelected="1" workbookViewId="0">
      <selection activeCell="D1" sqref="A1:D1"/>
    </sheetView>
  </sheetViews>
  <sheetFormatPr defaultRowHeight="14.4" x14ac:dyDescent="0.3"/>
  <cols>
    <col min="1" max="1" width="20.21875" bestFit="1" customWidth="1"/>
    <col min="2" max="2" width="13.21875" bestFit="1" customWidth="1"/>
    <col min="3" max="3" width="17.33203125" bestFit="1" customWidth="1"/>
    <col min="4" max="4" width="11.44140625" bestFit="1" customWidth="1"/>
  </cols>
  <sheetData>
    <row r="1" spans="1:4" x14ac:dyDescent="0.3">
      <c r="A1" s="6" t="s">
        <v>0</v>
      </c>
      <c r="B1" s="6" t="s">
        <v>1</v>
      </c>
      <c r="C1" s="6" t="s">
        <v>2</v>
      </c>
      <c r="D1" s="6" t="s">
        <v>3</v>
      </c>
    </row>
    <row r="2" spans="1:4" x14ac:dyDescent="0.3">
      <c r="A2" s="1">
        <v>101</v>
      </c>
      <c r="B2" s="2" t="s">
        <v>4</v>
      </c>
      <c r="C2" s="3">
        <v>120</v>
      </c>
      <c r="D2" s="2" t="str">
        <f>IF(ISNA(VLOOKUP(A2,Orders!$B$2:$B$7,1,FALSE)),"Not Ordered","Ordered")</f>
        <v>Ordered</v>
      </c>
    </row>
    <row r="3" spans="1:4" x14ac:dyDescent="0.3">
      <c r="A3" s="1">
        <v>102</v>
      </c>
      <c r="B3" s="2" t="s">
        <v>5</v>
      </c>
      <c r="C3" s="3">
        <v>150</v>
      </c>
      <c r="D3" s="2" t="str">
        <f>IF(ISNA(VLOOKUP(A3,Orders!$B$2:$B$7,1,FALSE)),"Not Ordered","Ordered")</f>
        <v>Ordered</v>
      </c>
    </row>
    <row r="4" spans="1:4" x14ac:dyDescent="0.3">
      <c r="A4" s="1">
        <v>103</v>
      </c>
      <c r="B4" s="2" t="s">
        <v>6</v>
      </c>
      <c r="C4" s="3">
        <v>200</v>
      </c>
      <c r="D4" s="2" t="str">
        <f>IF(ISNA(VLOOKUP(A4,Orders!$B$2:$B$7,1,FALSE)),"Not Ordered","Ordered")</f>
        <v>Ordered</v>
      </c>
    </row>
    <row r="5" spans="1:4" x14ac:dyDescent="0.3">
      <c r="A5" s="1">
        <v>104</v>
      </c>
      <c r="B5" s="2" t="s">
        <v>7</v>
      </c>
      <c r="C5" s="3">
        <v>90</v>
      </c>
      <c r="D5" s="2" t="str">
        <f>IF(ISNA(VLOOKUP(A5,Orders!$B$2:$B$7,1,FALSE)),"Not Ordered","Ordered")</f>
        <v>Ordered</v>
      </c>
    </row>
    <row r="6" spans="1:4" x14ac:dyDescent="0.3">
      <c r="A6" s="1">
        <v>105</v>
      </c>
      <c r="B6" s="2" t="s">
        <v>8</v>
      </c>
      <c r="C6" s="3">
        <v>220</v>
      </c>
      <c r="D6" s="2" t="str">
        <f>IF(ISNA(VLOOKUP(A6,Orders!$B$2:$B$7,1,FALSE)),"Not Ordered","Ordered")</f>
        <v>Ordered</v>
      </c>
    </row>
    <row r="7" spans="1:4" x14ac:dyDescent="0.3">
      <c r="A7" s="1">
        <v>106</v>
      </c>
      <c r="B7" s="2" t="s">
        <v>9</v>
      </c>
      <c r="C7" s="3">
        <v>130</v>
      </c>
      <c r="D7" s="2" t="str">
        <f>IF(ISNA(VLOOKUP(A7,Orders!$B$2:$B$7,1,FALSE)),"Not Ordered","Ordered")</f>
        <v>Ordered</v>
      </c>
    </row>
    <row r="10" spans="1:4" x14ac:dyDescent="0.3">
      <c r="A10" s="5" t="s">
        <v>0</v>
      </c>
      <c r="B10" s="5" t="s">
        <v>13</v>
      </c>
      <c r="C10" s="5" t="s">
        <v>17</v>
      </c>
    </row>
    <row r="11" spans="1:4" x14ac:dyDescent="0.3">
      <c r="A11" s="1">
        <v>101</v>
      </c>
      <c r="B11" s="1" t="str">
        <f>VLOOKUP(A11,Products!$A$2:$C$7,2,FALSE)</f>
        <v>Product A</v>
      </c>
      <c r="C11" s="1">
        <f>SUMIF(Orders!$B$2:$B$7,A11,Orders!$C$2:$C$7)</f>
        <v>2</v>
      </c>
    </row>
    <row r="12" spans="1:4" x14ac:dyDescent="0.3">
      <c r="A12" s="1">
        <v>102</v>
      </c>
      <c r="B12" s="1" t="str">
        <f>VLOOKUP(A12,Products!$A$2:$C$7,2,FALSE)</f>
        <v>Product B</v>
      </c>
      <c r="C12" s="1">
        <f>SUMIF(Orders!$B$2:$B$7,A12,Orders!$C$2:$C$7)</f>
        <v>5</v>
      </c>
    </row>
    <row r="13" spans="1:4" x14ac:dyDescent="0.3">
      <c r="A13" s="1">
        <v>103</v>
      </c>
      <c r="B13" s="1" t="str">
        <f>VLOOKUP(A13,Products!$A$2:$C$7,2,FALSE)</f>
        <v>Product C</v>
      </c>
      <c r="C13" s="1">
        <f>SUMIF(Orders!$B$2:$B$7,A13,Orders!$C$2:$C$7)</f>
        <v>1</v>
      </c>
    </row>
    <row r="14" spans="1:4" x14ac:dyDescent="0.3">
      <c r="A14" s="1">
        <v>104</v>
      </c>
      <c r="B14" s="1" t="str">
        <f>VLOOKUP(A14,Products!$A$2:$C$7,2,FALSE)</f>
        <v>Product D</v>
      </c>
      <c r="C14" s="1">
        <f>SUMIF(Orders!$B$2:$B$7,A14,Orders!$C$2:$C$7)</f>
        <v>6</v>
      </c>
    </row>
    <row r="15" spans="1:4" x14ac:dyDescent="0.3">
      <c r="A15" s="1">
        <v>105</v>
      </c>
      <c r="B15" s="1" t="str">
        <f>VLOOKUP(A15,Products!$A$2:$C$7,2,FALSE)</f>
        <v>Product E</v>
      </c>
      <c r="C15" s="1">
        <f>SUMIF(Orders!$B$2:$B$7,A15,Orders!$C$2:$C$7)</f>
        <v>4</v>
      </c>
    </row>
    <row r="16" spans="1:4" x14ac:dyDescent="0.3">
      <c r="A16" s="1">
        <v>106</v>
      </c>
      <c r="B16" s="1" t="str">
        <f>VLOOKUP(A16,Products!$A$2:$C$7,2,FALSE)</f>
        <v>Product F</v>
      </c>
      <c r="C16" s="1">
        <f>SUMIF(Orders!$B$2:$B$7,A16,Orders!$C$2:$C$7)</f>
        <v>3</v>
      </c>
    </row>
    <row r="19" spans="1:2" x14ac:dyDescent="0.3">
      <c r="A19" s="4" t="s">
        <v>18</v>
      </c>
      <c r="B19" s="4">
        <f>MAX(Orders!$I$2:$I$7)</f>
        <v>880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7"/>
  <sheetViews>
    <sheetView workbookViewId="0">
      <pane ySplit="1" topLeftCell="A2" activePane="bottomLeft" state="frozen"/>
      <selection pane="bottomLeft" activeCell="N12" sqref="N12"/>
    </sheetView>
  </sheetViews>
  <sheetFormatPr defaultRowHeight="14.4" x14ac:dyDescent="0.3"/>
  <cols>
    <col min="1" max="1" width="7.44140625" bestFit="1" customWidth="1"/>
    <col min="2" max="2" width="9.109375" bestFit="1" customWidth="1"/>
    <col min="3" max="3" width="8" bestFit="1" customWidth="1"/>
    <col min="4" max="4" width="9.21875" bestFit="1" customWidth="1"/>
    <col min="5" max="5" width="12.6640625" bestFit="1" customWidth="1"/>
    <col min="6" max="6" width="6.5546875" bestFit="1" customWidth="1"/>
    <col min="7" max="7" width="8.109375" bestFit="1" customWidth="1"/>
    <col min="8" max="8" width="14.6640625" bestFit="1" customWidth="1"/>
    <col min="9" max="9" width="10.6640625" bestFit="1" customWidth="1"/>
  </cols>
  <sheetData>
    <row r="1" spans="1:9" x14ac:dyDescent="0.3">
      <c r="A1" s="7" t="s">
        <v>10</v>
      </c>
      <c r="B1" s="7" t="s">
        <v>0</v>
      </c>
      <c r="C1" s="7" t="s">
        <v>11</v>
      </c>
      <c r="D1" s="7" t="s">
        <v>12</v>
      </c>
      <c r="E1" s="7" t="s">
        <v>13</v>
      </c>
      <c r="F1" s="7" t="s">
        <v>2</v>
      </c>
      <c r="G1" s="7" t="s">
        <v>14</v>
      </c>
      <c r="H1" s="7" t="s">
        <v>15</v>
      </c>
      <c r="I1" s="7" t="s">
        <v>16</v>
      </c>
    </row>
    <row r="2" spans="1:9" x14ac:dyDescent="0.3">
      <c r="A2" s="1">
        <v>1</v>
      </c>
      <c r="B2" s="1">
        <v>101</v>
      </c>
      <c r="C2" s="8">
        <v>2</v>
      </c>
      <c r="D2" s="8">
        <f>C2*F2</f>
        <v>240</v>
      </c>
      <c r="E2" s="1" t="str">
        <f>VLOOKUP(B2,Products!$A$2:$C$7,2,FALSE)</f>
        <v>Product A</v>
      </c>
      <c r="F2" s="8">
        <f>VLOOKUP(B2,Products!$A$2:$C$7,3,FALSE)</f>
        <v>120</v>
      </c>
      <c r="G2" s="1" t="str">
        <f>IF(ISNA(VLOOKUP(B2,Products!$A$2:$C$7,1,FALSE)),"Not Found","Found")</f>
        <v>Found</v>
      </c>
      <c r="H2" s="8">
        <f t="shared" ref="H2:H7" si="0">F2*(1-10%)</f>
        <v>108</v>
      </c>
      <c r="I2" s="8">
        <f t="shared" ref="I2:I7" si="1">C2*F2</f>
        <v>240</v>
      </c>
    </row>
    <row r="3" spans="1:9" x14ac:dyDescent="0.3">
      <c r="A3" s="1">
        <v>2</v>
      </c>
      <c r="B3" s="1">
        <v>103</v>
      </c>
      <c r="C3" s="8">
        <v>1</v>
      </c>
      <c r="D3" s="8">
        <f t="shared" ref="D2:D7" si="2">C3*F3</f>
        <v>200</v>
      </c>
      <c r="E3" s="1" t="str">
        <f>VLOOKUP(B3,Products!$A$2:$C$7,2,FALSE)</f>
        <v>Product C</v>
      </c>
      <c r="F3" s="8">
        <f>VLOOKUP(B3,Products!$A$2:$C$7,3,FALSE)</f>
        <v>200</v>
      </c>
      <c r="G3" s="1" t="str">
        <f>IF(ISNA(VLOOKUP(B3,Products!$A$2:$C$7,1,FALSE)),"Not Found","Found")</f>
        <v>Found</v>
      </c>
      <c r="H3" s="8">
        <f t="shared" si="0"/>
        <v>180</v>
      </c>
      <c r="I3" s="8">
        <f t="shared" si="1"/>
        <v>200</v>
      </c>
    </row>
    <row r="4" spans="1:9" x14ac:dyDescent="0.3">
      <c r="A4" s="1">
        <v>3</v>
      </c>
      <c r="B4" s="1">
        <v>105</v>
      </c>
      <c r="C4" s="8">
        <v>4</v>
      </c>
      <c r="D4" s="8">
        <f t="shared" si="2"/>
        <v>880</v>
      </c>
      <c r="E4" s="1" t="str">
        <f>VLOOKUP(B4,Products!$A$2:$C$7,2,FALSE)</f>
        <v>Product E</v>
      </c>
      <c r="F4" s="8">
        <f>VLOOKUP(B4,Products!$A$2:$C$7,3,FALSE)</f>
        <v>220</v>
      </c>
      <c r="G4" s="1" t="str">
        <f>IF(ISNA(VLOOKUP(B4,Products!$A$2:$C$7,1,FALSE)),"Not Found","Found")</f>
        <v>Found</v>
      </c>
      <c r="H4" s="8">
        <f t="shared" si="0"/>
        <v>198</v>
      </c>
      <c r="I4" s="8">
        <f t="shared" si="1"/>
        <v>880</v>
      </c>
    </row>
    <row r="5" spans="1:9" x14ac:dyDescent="0.3">
      <c r="A5" s="1">
        <v>4</v>
      </c>
      <c r="B5" s="1">
        <v>106</v>
      </c>
      <c r="C5" s="8">
        <v>3</v>
      </c>
      <c r="D5" s="8">
        <f t="shared" si="2"/>
        <v>390</v>
      </c>
      <c r="E5" s="1" t="str">
        <f>VLOOKUP(B5,Products!$A$2:$C$7,2,FALSE)</f>
        <v>Product F</v>
      </c>
      <c r="F5" s="8">
        <f>VLOOKUP(B5,Products!$A$2:$C$7,3,FALSE)</f>
        <v>130</v>
      </c>
      <c r="G5" s="1" t="str">
        <f>IF(ISNA(VLOOKUP(B5,Products!$A$2:$C$7,1,FALSE)),"Not Found","Found")</f>
        <v>Found</v>
      </c>
      <c r="H5" s="8">
        <f t="shared" si="0"/>
        <v>117</v>
      </c>
      <c r="I5" s="8">
        <f t="shared" si="1"/>
        <v>390</v>
      </c>
    </row>
    <row r="6" spans="1:9" x14ac:dyDescent="0.3">
      <c r="A6" s="1">
        <v>5</v>
      </c>
      <c r="B6" s="1">
        <v>102</v>
      </c>
      <c r="C6" s="8">
        <v>5</v>
      </c>
      <c r="D6" s="8">
        <f t="shared" si="2"/>
        <v>750</v>
      </c>
      <c r="E6" s="1" t="str">
        <f>VLOOKUP(B6,Products!$A$2:$C$7,2,FALSE)</f>
        <v>Product B</v>
      </c>
      <c r="F6" s="8">
        <f>VLOOKUP(B6,Products!$A$2:$C$7,3,FALSE)</f>
        <v>150</v>
      </c>
      <c r="G6" s="1" t="str">
        <f>IF(ISNA(VLOOKUP(B6,Products!$A$2:$C$7,1,FALSE)),"Not Found","Found")</f>
        <v>Found</v>
      </c>
      <c r="H6" s="8">
        <f t="shared" si="0"/>
        <v>135</v>
      </c>
      <c r="I6" s="8">
        <f t="shared" si="1"/>
        <v>750</v>
      </c>
    </row>
    <row r="7" spans="1:9" x14ac:dyDescent="0.3">
      <c r="A7" s="1">
        <v>6</v>
      </c>
      <c r="B7" s="1">
        <v>104</v>
      </c>
      <c r="C7" s="8">
        <v>6</v>
      </c>
      <c r="D7" s="8">
        <f t="shared" si="2"/>
        <v>540</v>
      </c>
      <c r="E7" s="1" t="str">
        <f>VLOOKUP(B7,Products!$A$2:$C$7,2,FALSE)</f>
        <v>Product D</v>
      </c>
      <c r="F7" s="8">
        <f>VLOOKUP(B7,Products!$A$2:$C$7,3,FALSE)</f>
        <v>90</v>
      </c>
      <c r="G7" s="1" t="str">
        <f>IF(ISNA(VLOOKUP(B7,Products!$A$2:$C$7,1,FALSE)),"Not Found","Found")</f>
        <v>Found</v>
      </c>
      <c r="H7" s="8">
        <f t="shared" si="0"/>
        <v>81</v>
      </c>
      <c r="I7" s="8">
        <f t="shared" si="1"/>
        <v>540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Products</vt:lpstr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sohomdey58@gmail.com</cp:lastModifiedBy>
  <dcterms:created xsi:type="dcterms:W3CDTF">2026-08-12T13:50:51Z</dcterms:created>
  <dcterms:modified xsi:type="dcterms:W3CDTF">2026-08-12T14:17:37Z</dcterms:modified>
</cp:coreProperties>
</file>